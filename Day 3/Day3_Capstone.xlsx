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A:\Anudip Foundation Karan\Day 3\"/>
    </mc:Choice>
  </mc:AlternateContent>
  <xr:revisionPtr revIDLastSave="0" documentId="13_ncr:1_{D4F446C5-DB12-49B2-83D4-F0FE8C387085}" xr6:coauthVersionLast="47" xr6:coauthVersionMax="47" xr10:uidLastSave="{00000000-0000-0000-0000-000000000000}"/>
  <bookViews>
    <workbookView xWindow="-108" yWindow="-108" windowWidth="23256" windowHeight="12456" xr2:uid="{E939A41C-F406-40F1-83C2-F08289E0D91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</calcChain>
</file>

<file path=xl/sharedStrings.xml><?xml version="1.0" encoding="utf-8"?>
<sst xmlns="http://schemas.openxmlformats.org/spreadsheetml/2006/main" count="83" uniqueCount="50">
  <si>
    <t>TransID</t>
  </si>
  <si>
    <t>Date</t>
  </si>
  <si>
    <t>RepID</t>
  </si>
  <si>
    <t>ProductID</t>
  </si>
  <si>
    <t>Qty</t>
  </si>
  <si>
    <t>TX-1001</t>
  </si>
  <si>
    <t>R-001</t>
  </si>
  <si>
    <t>P-500</t>
  </si>
  <si>
    <t>TX-1002</t>
  </si>
  <si>
    <t>R-002</t>
  </si>
  <si>
    <t>P-505</t>
  </si>
  <si>
    <t>TX-1003</t>
  </si>
  <si>
    <t>R-003</t>
  </si>
  <si>
    <t>TX-1004</t>
  </si>
  <si>
    <t>P-502</t>
  </si>
  <si>
    <t>TX-1005</t>
  </si>
  <si>
    <t>R-004</t>
  </si>
  <si>
    <t>TX-1006</t>
  </si>
  <si>
    <t>P-501</t>
  </si>
  <si>
    <t>TX-1007</t>
  </si>
  <si>
    <t>TX-1008</t>
  </si>
  <si>
    <t>R-005</t>
  </si>
  <si>
    <t>TX-1009</t>
  </si>
  <si>
    <t>TX-1010</t>
  </si>
  <si>
    <t>TX-1011</t>
  </si>
  <si>
    <t>TX-1012</t>
  </si>
  <si>
    <t>TX-1013</t>
  </si>
  <si>
    <t>TX-1014</t>
  </si>
  <si>
    <t>TX-1015</t>
  </si>
  <si>
    <t>RepName</t>
  </si>
  <si>
    <t>Region</t>
  </si>
  <si>
    <t>Alice Smith</t>
  </si>
  <si>
    <t>North</t>
  </si>
  <si>
    <t>Bob Jones</t>
  </si>
  <si>
    <t>South</t>
  </si>
  <si>
    <t>Charlie Day</t>
  </si>
  <si>
    <t>East</t>
  </si>
  <si>
    <t>Diana Prince</t>
  </si>
  <si>
    <t>West</t>
  </si>
  <si>
    <t>Ethan Hunt</t>
  </si>
  <si>
    <t>ProductName</t>
  </si>
  <si>
    <t>UnitPrice</t>
  </si>
  <si>
    <t>Pro Widget</t>
  </si>
  <si>
    <t>Mega Gadget</t>
  </si>
  <si>
    <t>Ultra Gizmo</t>
  </si>
  <si>
    <t>Power Pack</t>
  </si>
  <si>
    <t>REP NAME</t>
  </si>
  <si>
    <t>REGION</t>
  </si>
  <si>
    <t>UNIT PRICE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</si>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</sst>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3" borderId="0" xfId="0" applyFill="1"/>
    <xf numFmtId="14" fontId="0" fillId="3" borderId="0" xfId="0" applyNumberFormat="1" applyFill="1"/>
    <xf numFmtId="0" fontId="0" fillId="3" borderId="0" xfId="0" applyFill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0" fillId="3" borderId="0" xfId="0" applyNumberFormat="1" applyFill="1"/>
  </cellXfs>
  <cellStyles count="1">
    <cellStyle name="Normal" xfId="0" builtinId="0"/>
  </cellStyles>
  <dxfs count="11"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9" formatCode="dd/mm/yy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599440</xdr:colOff>
      <xdr:row>17</xdr:row>
      <xdr:rowOff>10160</xdr:rowOff>
    </xdr:from>
    <xdr:to>
      <xdr:col>8</xdr:col>
      <xdr:colOff>293370</xdr:colOff>
      <xdr:row>29</xdr:row>
      <xdr:rowOff>129540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BFE984B-4B62-4351-B097-96FE4A939B6E}"/>
            </a:ext>
          </a:extLst>
        </xdr:cNvPr>
        <xdr:cNvSpPr txBox="1"/>
      </xdr:nvSpPr>
      <xdr:spPr>
        <a:xfrm>
          <a:off x="599440" y="3119120"/>
          <a:ext cx="4654550" cy="2313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1. The Scenario</a:t>
          </a:r>
        </a:p>
        <a:p>
          <a:r>
            <a:rPr lang="en-IN"/>
            <a:t>"You are the MIS Lead. You have 3 files from 3 different departments. The CEO wants to know: </a:t>
          </a:r>
          <a:r>
            <a:rPr lang="en-IN" b="1"/>
            <a:t>'Who is our top sales rep by revenue, and what region are they in?'</a:t>
          </a:r>
          <a:r>
            <a:rPr lang="en-IN"/>
            <a:t>"</a:t>
          </a:r>
        </a:p>
        <a:p>
          <a:r>
            <a:rPr lang="en-IN" b="1"/>
            <a:t>2. The Assets (Setup Required)</a:t>
          </a:r>
        </a:p>
        <a:p>
          <a:r>
            <a:rPr lang="en-IN" b="1"/>
            <a:t>Sheet 1 (Transactions):</a:t>
          </a:r>
          <a:r>
            <a:rPr lang="en-IN"/>
            <a:t> TransID, Date, RepID, ProductID, Qty.</a:t>
          </a:r>
        </a:p>
        <a:p>
          <a:r>
            <a:rPr lang="en-IN" b="1"/>
            <a:t>Sheet 2 (Reps):</a:t>
          </a:r>
          <a:r>
            <a:rPr lang="en-IN"/>
            <a:t> RepID, RepName, Region.</a:t>
          </a:r>
        </a:p>
        <a:p>
          <a:r>
            <a:rPr lang="en-IN" b="1"/>
            <a:t>Sheet 3 (Products):</a:t>
          </a:r>
          <a:r>
            <a:rPr lang="en-IN"/>
            <a:t> ProductID, ProductName, UnitPrice.</a:t>
          </a:r>
        </a:p>
        <a:p>
          <a:r>
            <a:rPr lang="en-IN" b="1"/>
            <a:t>3. The Task</a:t>
          </a:r>
        </a:p>
        <a:p>
          <a:r>
            <a:rPr lang="en-IN" b="1"/>
            <a:t>Step 1:</a:t>
          </a:r>
          <a:r>
            <a:rPr lang="en-IN"/>
            <a:t> In the "Transactions" sheet, bring in RepName and Region using </a:t>
          </a:r>
          <a:r>
            <a:rPr lang="en-IN" b="1"/>
            <a:t>XLOOKUP</a:t>
          </a:r>
          <a:r>
            <a:rPr lang="en-IN"/>
            <a:t> (Show off the modern skill).</a:t>
          </a:r>
        </a:p>
        <a:p>
          <a:r>
            <a:rPr lang="en-IN" b="1"/>
            <a:t>Step 2:</a:t>
          </a:r>
          <a:r>
            <a:rPr lang="en-IN"/>
            <a:t> Bring in UnitPrice (from Sheet 3).</a:t>
          </a:r>
        </a:p>
        <a:p>
          <a:r>
            <a:rPr lang="en-IN" b="1"/>
            <a:t>Step 3:</a:t>
          </a:r>
          <a:r>
            <a:rPr lang="en-IN"/>
            <a:t> Calculate Total Revenue (Qty * UnitPrice).</a:t>
          </a:r>
        </a:p>
        <a:p>
          <a:endParaRPr lang="en-IN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B88CFF-4FCD-4471-A569-85F37F23B9F6}" name="Table1" displayName="Table1" ref="A1:I16" totalsRowShown="0" headerRowDxfId="4" dataDxfId="5">
  <autoFilter ref="A1:I16" xr:uid="{45B88CFF-4FCD-4471-A569-85F37F23B9F6}"/>
  <tableColumns count="9">
    <tableColumn id="1" xr3:uid="{B9C65949-3646-49D2-9542-2348558B7BF4}" name="TransID" dataDxfId="10"/>
    <tableColumn id="2" xr3:uid="{A57447E6-5D6B-4839-A2AA-322D6CC615B0}" name="Date" dataDxfId="9"/>
    <tableColumn id="3" xr3:uid="{325647A8-DEF2-49B9-B045-EA55F61BB239}" name="RepID" dataDxfId="8"/>
    <tableColumn id="4" xr3:uid="{D170FA3B-27FA-4339-8BD3-090BBA353A8A}" name="ProductID" dataDxfId="7"/>
    <tableColumn id="5" xr3:uid="{0C03B04E-DBF1-4E6F-B9B7-2F36338FCCD7}" name="Qty" dataDxfId="6"/>
    <tableColumn id="6" xr3:uid="{B2A63E1F-847B-4880-9B04-B70F9D6692CD}" name="REP NAME" dataDxfId="3">
      <calculatedColumnFormula>_xlfn.XLOOKUP(Table1[[#This Row],[RepID]],Sheet2!$A$1:$A$6,Sheet2!$B$1:$B$6,"NOT FOUND",0,1)</calculatedColumnFormula>
    </tableColumn>
    <tableColumn id="7" xr3:uid="{67ED745E-601A-4698-B6DB-5C69909DECC0}" name="REGION" dataDxfId="2">
      <calculatedColumnFormula>_xlfn.XLOOKUP(Table1[[#This Row],[RepID]],Sheet2!$A$1:$A$6,Sheet2!$C$1:$C$6,"NOT FOUND",0)</calculatedColumnFormula>
    </tableColumn>
    <tableColumn id="8" xr3:uid="{E410BC4B-9DAC-4E7D-97D1-C62BC7E82E18}" name="UNIT PRICE" dataDxfId="1">
      <calculatedColumnFormula>_xlfn.XLOOKUP(Table1[[#This Row],[ProductID]],Sheet3!$A$1:$A$5,Sheet3!$C$1:$C$5,"NOT FOUND",0)</calculatedColumnFormula>
    </tableColumn>
    <tableColumn id="9" xr3:uid="{15B60F4F-681E-409C-B3EE-CD94888E5267}" name="TOTAL REVENUE" dataDxfId="0">
      <calculatedColumnFormula>Table1[[#This Row],[Qty]]*Table1[[#This Row],[UNIT PRICE]]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40EEF-9E77-4964-800C-4A7F322E9C58}">
  <dimension ref="A1:I16"/>
  <sheetViews>
    <sheetView showGridLines="0" tabSelected="1" workbookViewId="0">
      <selection activeCell="I3" sqref="I3"/>
    </sheetView>
  </sheetViews>
  <sheetFormatPr defaultRowHeight="14.4" x14ac:dyDescent="0.3"/>
  <cols>
    <col min="1" max="1" width="9.21875" customWidth="1"/>
    <col min="2" max="2" width="10.109375" bestFit="1" customWidth="1"/>
    <col min="4" max="4" width="11.33203125" customWidth="1"/>
    <col min="6" max="6" width="12.21875" bestFit="1" customWidth="1"/>
    <col min="8" max="8" width="12.77734375" bestFit="1" customWidth="1"/>
    <col min="9" max="9" width="17.21875" bestFit="1" customWidth="1"/>
  </cols>
  <sheetData>
    <row r="1" spans="1:9" s="6" customFormat="1" x14ac:dyDescent="0.3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46</v>
      </c>
      <c r="G1" s="6" t="s">
        <v>47</v>
      </c>
      <c r="H1" s="6" t="s">
        <v>48</v>
      </c>
      <c r="I1" s="6" t="s">
        <v>49</v>
      </c>
    </row>
    <row r="2" spans="1:9" x14ac:dyDescent="0.3">
      <c r="A2" s="3" t="s">
        <v>5</v>
      </c>
      <c r="B2" s="4">
        <v>45231</v>
      </c>
      <c r="C2" s="3" t="s">
        <v>6</v>
      </c>
      <c r="D2" s="3" t="s">
        <v>7</v>
      </c>
      <c r="E2" s="5">
        <v>5</v>
      </c>
      <c r="F2" s="3" t="str">
        <f>_xlfn.XLOOKUP(Table1[[#This Row],[RepID]],Sheet2!$A$1:$A$6,Sheet2!$B$1:$B$6,"NOT FOUND",0,1)</f>
        <v>Alice Smith</v>
      </c>
      <c r="G2" s="3" t="str">
        <f>_xlfn.XLOOKUP(Table1[[#This Row],[RepID]],Sheet2!$A$1:$A$6,Sheet2!$C$1:$C$6,"NOT FOUND",0)</f>
        <v>North</v>
      </c>
      <c r="H2" s="3">
        <f>_xlfn.XLOOKUP(Table1[[#This Row],[ProductID]],Sheet3!$A$1:$A$5,Sheet3!$C$1:$C$5,"NOT FOUND",0)</f>
        <v>25</v>
      </c>
      <c r="I2" s="8">
        <f>Table1[[#This Row],[Qty]]*Table1[[#This Row],[UNIT PRICE]]</f>
        <v>125</v>
      </c>
    </row>
    <row r="3" spans="1:9" x14ac:dyDescent="0.3">
      <c r="A3" s="3" t="s">
        <v>8</v>
      </c>
      <c r="B3" s="4">
        <v>45231</v>
      </c>
      <c r="C3" s="3" t="s">
        <v>9</v>
      </c>
      <c r="D3" s="3" t="s">
        <v>10</v>
      </c>
      <c r="E3" s="5">
        <v>2</v>
      </c>
      <c r="F3" s="3" t="str">
        <f>_xlfn.XLOOKUP(Table1[[#This Row],[RepID]],Sheet2!$A$1:$A$6,Sheet2!$B$1:$B$6,"NOT FOUND",0,1)</f>
        <v>Bob Jones</v>
      </c>
      <c r="G3" s="3" t="str">
        <f>_xlfn.XLOOKUP(Table1[[#This Row],[RepID]],Sheet2!$A$1:$A$6,Sheet2!$C$1:$C$6,"NOT FOUND",0)</f>
        <v>South</v>
      </c>
      <c r="H3" s="3">
        <f>_xlfn.XLOOKUP(Table1[[#This Row],[ProductID]],Sheet3!$A$1:$A$5,Sheet3!$C$1:$C$5,"NOT FOUND",0)</f>
        <v>30</v>
      </c>
      <c r="I3" s="8">
        <f>Table1[[#This Row],[Qty]]*Table1[[#This Row],[UNIT PRICE]]</f>
        <v>60</v>
      </c>
    </row>
    <row r="4" spans="1:9" x14ac:dyDescent="0.3">
      <c r="A4" s="3" t="s">
        <v>11</v>
      </c>
      <c r="B4" s="4">
        <v>45232</v>
      </c>
      <c r="C4" s="3" t="s">
        <v>12</v>
      </c>
      <c r="D4" s="3" t="s">
        <v>7</v>
      </c>
      <c r="E4" s="5">
        <v>1</v>
      </c>
      <c r="F4" s="3" t="str">
        <f>_xlfn.XLOOKUP(Table1[[#This Row],[RepID]],Sheet2!$A$1:$A$6,Sheet2!$B$1:$B$6,"NOT FOUND",0,1)</f>
        <v>Charlie Day</v>
      </c>
      <c r="G4" s="3" t="str">
        <f>_xlfn.XLOOKUP(Table1[[#This Row],[RepID]],Sheet2!$A$1:$A$6,Sheet2!$C$1:$C$6,"NOT FOUND",0)</f>
        <v>East</v>
      </c>
      <c r="H4" s="3">
        <f>_xlfn.XLOOKUP(Table1[[#This Row],[ProductID]],Sheet3!$A$1:$A$5,Sheet3!$C$1:$C$5,"NOT FOUND",0)</f>
        <v>25</v>
      </c>
      <c r="I4" s="8">
        <f>Table1[[#This Row],[Qty]]*Table1[[#This Row],[UNIT PRICE]]</f>
        <v>25</v>
      </c>
    </row>
    <row r="5" spans="1:9" x14ac:dyDescent="0.3">
      <c r="A5" s="3" t="s">
        <v>13</v>
      </c>
      <c r="B5" s="4">
        <v>45232</v>
      </c>
      <c r="C5" s="3" t="s">
        <v>6</v>
      </c>
      <c r="D5" s="3" t="s">
        <v>14</v>
      </c>
      <c r="E5" s="5">
        <v>10</v>
      </c>
      <c r="F5" s="3" t="str">
        <f>_xlfn.XLOOKUP(Table1[[#This Row],[RepID]],Sheet2!$A$1:$A$6,Sheet2!$B$1:$B$6,"NOT FOUND",0,1)</f>
        <v>Alice Smith</v>
      </c>
      <c r="G5" s="3" t="str">
        <f>_xlfn.XLOOKUP(Table1[[#This Row],[RepID]],Sheet2!$A$1:$A$6,Sheet2!$C$1:$C$6,"NOT FOUND",0)</f>
        <v>North</v>
      </c>
      <c r="H5" s="3">
        <f>_xlfn.XLOOKUP(Table1[[#This Row],[ProductID]],Sheet3!$A$1:$A$5,Sheet3!$C$1:$C$5,"NOT FOUND",0)</f>
        <v>15</v>
      </c>
      <c r="I5" s="8">
        <f>Table1[[#This Row],[Qty]]*Table1[[#This Row],[UNIT PRICE]]</f>
        <v>150</v>
      </c>
    </row>
    <row r="6" spans="1:9" x14ac:dyDescent="0.3">
      <c r="A6" s="3" t="s">
        <v>15</v>
      </c>
      <c r="B6" s="4">
        <v>45233</v>
      </c>
      <c r="C6" s="3" t="s">
        <v>16</v>
      </c>
      <c r="D6" s="3" t="s">
        <v>10</v>
      </c>
      <c r="E6" s="5">
        <v>3</v>
      </c>
      <c r="F6" s="3" t="str">
        <f>_xlfn.XLOOKUP(Table1[[#This Row],[RepID]],Sheet2!$A$1:$A$6,Sheet2!$B$1:$B$6,"NOT FOUND",0,1)</f>
        <v>Diana Prince</v>
      </c>
      <c r="G6" s="3" t="str">
        <f>_xlfn.XLOOKUP(Table1[[#This Row],[RepID]],Sheet2!$A$1:$A$6,Sheet2!$C$1:$C$6,"NOT FOUND",0)</f>
        <v>West</v>
      </c>
      <c r="H6" s="3">
        <f>_xlfn.XLOOKUP(Table1[[#This Row],[ProductID]],Sheet3!$A$1:$A$5,Sheet3!$C$1:$C$5,"NOT FOUND",0)</f>
        <v>30</v>
      </c>
      <c r="I6" s="8">
        <f>Table1[[#This Row],[Qty]]*Table1[[#This Row],[UNIT PRICE]]</f>
        <v>90</v>
      </c>
    </row>
    <row r="7" spans="1:9" x14ac:dyDescent="0.3">
      <c r="A7" s="3" t="s">
        <v>17</v>
      </c>
      <c r="B7" s="4">
        <v>45233</v>
      </c>
      <c r="C7" s="3" t="s">
        <v>9</v>
      </c>
      <c r="D7" s="3" t="s">
        <v>18</v>
      </c>
      <c r="E7" s="5">
        <v>4</v>
      </c>
      <c r="F7" s="3" t="str">
        <f>_xlfn.XLOOKUP(Table1[[#This Row],[RepID]],Sheet2!$A$1:$A$6,Sheet2!$B$1:$B$6,"NOT FOUND",0,1)</f>
        <v>Bob Jones</v>
      </c>
      <c r="G7" s="3" t="str">
        <f>_xlfn.XLOOKUP(Table1[[#This Row],[RepID]],Sheet2!$A$1:$A$6,Sheet2!$C$1:$C$6,"NOT FOUND",0)</f>
        <v>South</v>
      </c>
      <c r="H7" s="3">
        <f>_xlfn.XLOOKUP(Table1[[#This Row],[ProductID]],Sheet3!$A$1:$A$5,Sheet3!$C$1:$C$5,"NOT FOUND",0)</f>
        <v>45</v>
      </c>
      <c r="I7" s="8">
        <f>Table1[[#This Row],[Qty]]*Table1[[#This Row],[UNIT PRICE]]</f>
        <v>180</v>
      </c>
    </row>
    <row r="8" spans="1:9" x14ac:dyDescent="0.3">
      <c r="A8" s="3" t="s">
        <v>19</v>
      </c>
      <c r="B8" s="4">
        <v>45234</v>
      </c>
      <c r="C8" s="3" t="s">
        <v>12</v>
      </c>
      <c r="D8" s="3" t="s">
        <v>14</v>
      </c>
      <c r="E8" s="5">
        <v>2</v>
      </c>
      <c r="F8" s="3" t="str">
        <f>_xlfn.XLOOKUP(Table1[[#This Row],[RepID]],Sheet2!$A$1:$A$6,Sheet2!$B$1:$B$6,"NOT FOUND",0,1)</f>
        <v>Charlie Day</v>
      </c>
      <c r="G8" s="3" t="str">
        <f>_xlfn.XLOOKUP(Table1[[#This Row],[RepID]],Sheet2!$A$1:$A$6,Sheet2!$C$1:$C$6,"NOT FOUND",0)</f>
        <v>East</v>
      </c>
      <c r="H8" s="3">
        <f>_xlfn.XLOOKUP(Table1[[#This Row],[ProductID]],Sheet3!$A$1:$A$5,Sheet3!$C$1:$C$5,"NOT FOUND",0)</f>
        <v>15</v>
      </c>
      <c r="I8" s="8">
        <f>Table1[[#This Row],[Qty]]*Table1[[#This Row],[UNIT PRICE]]</f>
        <v>30</v>
      </c>
    </row>
    <row r="9" spans="1:9" x14ac:dyDescent="0.3">
      <c r="A9" s="3" t="s">
        <v>20</v>
      </c>
      <c r="B9" s="4">
        <v>45235</v>
      </c>
      <c r="C9" s="3" t="s">
        <v>21</v>
      </c>
      <c r="D9" s="3" t="s">
        <v>7</v>
      </c>
      <c r="E9" s="5">
        <v>6</v>
      </c>
      <c r="F9" s="3" t="str">
        <f>_xlfn.XLOOKUP(Table1[[#This Row],[RepID]],Sheet2!$A$1:$A$6,Sheet2!$B$1:$B$6,"NOT FOUND",0,1)</f>
        <v>Ethan Hunt</v>
      </c>
      <c r="G9" s="3" t="str">
        <f>_xlfn.XLOOKUP(Table1[[#This Row],[RepID]],Sheet2!$A$1:$A$6,Sheet2!$C$1:$C$6,"NOT FOUND",0)</f>
        <v>North</v>
      </c>
      <c r="H9" s="3">
        <f>_xlfn.XLOOKUP(Table1[[#This Row],[ProductID]],Sheet3!$A$1:$A$5,Sheet3!$C$1:$C$5,"NOT FOUND",0)</f>
        <v>25</v>
      </c>
      <c r="I9" s="8">
        <f>Table1[[#This Row],[Qty]]*Table1[[#This Row],[UNIT PRICE]]</f>
        <v>150</v>
      </c>
    </row>
    <row r="10" spans="1:9" x14ac:dyDescent="0.3">
      <c r="A10" s="3" t="s">
        <v>22</v>
      </c>
      <c r="B10" s="4">
        <v>45235</v>
      </c>
      <c r="C10" s="3" t="s">
        <v>6</v>
      </c>
      <c r="D10" s="3" t="s">
        <v>10</v>
      </c>
      <c r="E10" s="5">
        <v>1</v>
      </c>
      <c r="F10" s="3" t="str">
        <f>_xlfn.XLOOKUP(Table1[[#This Row],[RepID]],Sheet2!$A$1:$A$6,Sheet2!$B$1:$B$6,"NOT FOUND",0,1)</f>
        <v>Alice Smith</v>
      </c>
      <c r="G10" s="3" t="str">
        <f>_xlfn.XLOOKUP(Table1[[#This Row],[RepID]],Sheet2!$A$1:$A$6,Sheet2!$C$1:$C$6,"NOT FOUND",0)</f>
        <v>North</v>
      </c>
      <c r="H10" s="3">
        <f>_xlfn.XLOOKUP(Table1[[#This Row],[ProductID]],Sheet3!$A$1:$A$5,Sheet3!$C$1:$C$5,"NOT FOUND",0)</f>
        <v>30</v>
      </c>
      <c r="I10" s="8">
        <f>Table1[[#This Row],[Qty]]*Table1[[#This Row],[UNIT PRICE]]</f>
        <v>30</v>
      </c>
    </row>
    <row r="11" spans="1:9" x14ac:dyDescent="0.3">
      <c r="A11" s="3" t="s">
        <v>23</v>
      </c>
      <c r="B11" s="4">
        <v>45236</v>
      </c>
      <c r="C11" s="3" t="s">
        <v>16</v>
      </c>
      <c r="D11" s="3" t="s">
        <v>18</v>
      </c>
      <c r="E11" s="5">
        <v>8</v>
      </c>
      <c r="F11" s="3" t="str">
        <f>_xlfn.XLOOKUP(Table1[[#This Row],[RepID]],Sheet2!$A$1:$A$6,Sheet2!$B$1:$B$6,"NOT FOUND",0,1)</f>
        <v>Diana Prince</v>
      </c>
      <c r="G11" s="3" t="str">
        <f>_xlfn.XLOOKUP(Table1[[#This Row],[RepID]],Sheet2!$A$1:$A$6,Sheet2!$C$1:$C$6,"NOT FOUND",0)</f>
        <v>West</v>
      </c>
      <c r="H11" s="3">
        <f>_xlfn.XLOOKUP(Table1[[#This Row],[ProductID]],Sheet3!$A$1:$A$5,Sheet3!$C$1:$C$5,"NOT FOUND",0)</f>
        <v>45</v>
      </c>
      <c r="I11" s="8">
        <f>Table1[[#This Row],[Qty]]*Table1[[#This Row],[UNIT PRICE]]</f>
        <v>360</v>
      </c>
    </row>
    <row r="12" spans="1:9" x14ac:dyDescent="0.3">
      <c r="A12" s="3" t="s">
        <v>24</v>
      </c>
      <c r="B12" s="4">
        <v>45236</v>
      </c>
      <c r="C12" s="3" t="s">
        <v>21</v>
      </c>
      <c r="D12" s="3" t="s">
        <v>14</v>
      </c>
      <c r="E12" s="5">
        <v>3</v>
      </c>
      <c r="F12" s="3" t="str">
        <f>_xlfn.XLOOKUP(Table1[[#This Row],[RepID]],Sheet2!$A$1:$A$6,Sheet2!$B$1:$B$6,"NOT FOUND",0,1)</f>
        <v>Ethan Hunt</v>
      </c>
      <c r="G12" s="3" t="str">
        <f>_xlfn.XLOOKUP(Table1[[#This Row],[RepID]],Sheet2!$A$1:$A$6,Sheet2!$C$1:$C$6,"NOT FOUND",0)</f>
        <v>North</v>
      </c>
      <c r="H12" s="3">
        <f>_xlfn.XLOOKUP(Table1[[#This Row],[ProductID]],Sheet3!$A$1:$A$5,Sheet3!$C$1:$C$5,"NOT FOUND",0)</f>
        <v>15</v>
      </c>
      <c r="I12" s="8">
        <f>Table1[[#This Row],[Qty]]*Table1[[#This Row],[UNIT PRICE]]</f>
        <v>45</v>
      </c>
    </row>
    <row r="13" spans="1:9" x14ac:dyDescent="0.3">
      <c r="A13" s="3" t="s">
        <v>25</v>
      </c>
      <c r="B13" s="4">
        <v>45237</v>
      </c>
      <c r="C13" s="3" t="s">
        <v>9</v>
      </c>
      <c r="D13" s="3" t="s">
        <v>7</v>
      </c>
      <c r="E13" s="5">
        <v>4</v>
      </c>
      <c r="F13" s="3" t="str">
        <f>_xlfn.XLOOKUP(Table1[[#This Row],[RepID]],Sheet2!$A$1:$A$6,Sheet2!$B$1:$B$6,"NOT FOUND",0,1)</f>
        <v>Bob Jones</v>
      </c>
      <c r="G13" s="3" t="str">
        <f>_xlfn.XLOOKUP(Table1[[#This Row],[RepID]],Sheet2!$A$1:$A$6,Sheet2!$C$1:$C$6,"NOT FOUND",0)</f>
        <v>South</v>
      </c>
      <c r="H13" s="3">
        <f>_xlfn.XLOOKUP(Table1[[#This Row],[ProductID]],Sheet3!$A$1:$A$5,Sheet3!$C$1:$C$5,"NOT FOUND",0)</f>
        <v>25</v>
      </c>
      <c r="I13" s="8">
        <f>Table1[[#This Row],[Qty]]*Table1[[#This Row],[UNIT PRICE]]</f>
        <v>100</v>
      </c>
    </row>
    <row r="14" spans="1:9" x14ac:dyDescent="0.3">
      <c r="A14" s="3" t="s">
        <v>26</v>
      </c>
      <c r="B14" s="4">
        <v>45237</v>
      </c>
      <c r="C14" s="3" t="s">
        <v>12</v>
      </c>
      <c r="D14" s="3" t="s">
        <v>10</v>
      </c>
      <c r="E14" s="5">
        <v>5</v>
      </c>
      <c r="F14" s="3" t="str">
        <f>_xlfn.XLOOKUP(Table1[[#This Row],[RepID]],Sheet2!$A$1:$A$6,Sheet2!$B$1:$B$6,"NOT FOUND",0,1)</f>
        <v>Charlie Day</v>
      </c>
      <c r="G14" s="3" t="str">
        <f>_xlfn.XLOOKUP(Table1[[#This Row],[RepID]],Sheet2!$A$1:$A$6,Sheet2!$C$1:$C$6,"NOT FOUND",0)</f>
        <v>East</v>
      </c>
      <c r="H14" s="3">
        <f>_xlfn.XLOOKUP(Table1[[#This Row],[ProductID]],Sheet3!$A$1:$A$5,Sheet3!$C$1:$C$5,"NOT FOUND",0)</f>
        <v>30</v>
      </c>
      <c r="I14" s="8">
        <f>Table1[[#This Row],[Qty]]*Table1[[#This Row],[UNIT PRICE]]</f>
        <v>150</v>
      </c>
    </row>
    <row r="15" spans="1:9" x14ac:dyDescent="0.3">
      <c r="A15" s="3" t="s">
        <v>27</v>
      </c>
      <c r="B15" s="4">
        <v>45238</v>
      </c>
      <c r="C15" s="3" t="s">
        <v>6</v>
      </c>
      <c r="D15" s="3" t="s">
        <v>18</v>
      </c>
      <c r="E15" s="5">
        <v>2</v>
      </c>
      <c r="F15" s="3" t="str">
        <f>_xlfn.XLOOKUP(Table1[[#This Row],[RepID]],Sheet2!$A$1:$A$6,Sheet2!$B$1:$B$6,"NOT FOUND",0,1)</f>
        <v>Alice Smith</v>
      </c>
      <c r="G15" s="3" t="str">
        <f>_xlfn.XLOOKUP(Table1[[#This Row],[RepID]],Sheet2!$A$1:$A$6,Sheet2!$C$1:$C$6,"NOT FOUND",0)</f>
        <v>North</v>
      </c>
      <c r="H15" s="3">
        <f>_xlfn.XLOOKUP(Table1[[#This Row],[ProductID]],Sheet3!$A$1:$A$5,Sheet3!$C$1:$C$5,"NOT FOUND",0)</f>
        <v>45</v>
      </c>
      <c r="I15" s="8">
        <f>Table1[[#This Row],[Qty]]*Table1[[#This Row],[UNIT PRICE]]</f>
        <v>90</v>
      </c>
    </row>
    <row r="16" spans="1:9" x14ac:dyDescent="0.3">
      <c r="A16" s="3" t="s">
        <v>28</v>
      </c>
      <c r="B16" s="4">
        <v>45238</v>
      </c>
      <c r="C16" s="3" t="s">
        <v>16</v>
      </c>
      <c r="D16" s="3" t="s">
        <v>14</v>
      </c>
      <c r="E16" s="5">
        <v>7</v>
      </c>
      <c r="F16" s="3" t="str">
        <f>_xlfn.XLOOKUP(Table1[[#This Row],[RepID]],Sheet2!$A$1:$A$6,Sheet2!$B$1:$B$6,"NOT FOUND",0,1)</f>
        <v>Diana Prince</v>
      </c>
      <c r="G16" s="3" t="str">
        <f>_xlfn.XLOOKUP(Table1[[#This Row],[RepID]],Sheet2!$A$1:$A$6,Sheet2!$C$1:$C$6,"NOT FOUND",0)</f>
        <v>West</v>
      </c>
      <c r="H16" s="3">
        <f>_xlfn.XLOOKUP(Table1[[#This Row],[ProductID]],Sheet3!$A$1:$A$5,Sheet3!$C$1:$C$5,"NOT FOUND",0)</f>
        <v>15</v>
      </c>
      <c r="I16" s="8">
        <f>Table1[[#This Row],[Qty]]*Table1[[#This Row],[UNIT PRICE]]</f>
        <v>105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5F191-DDAF-4DC2-875D-854064FA5B18}">
  <dimension ref="A1:C6"/>
  <sheetViews>
    <sheetView workbookViewId="0">
      <selection activeCell="D2" sqref="D2"/>
    </sheetView>
  </sheetViews>
  <sheetFormatPr defaultRowHeight="14.4" x14ac:dyDescent="0.3"/>
  <cols>
    <col min="1" max="1" width="5.88671875" bestFit="1" customWidth="1"/>
    <col min="2" max="2" width="11.109375" bestFit="1" customWidth="1"/>
    <col min="3" max="3" width="6.5546875" bestFit="1" customWidth="1"/>
  </cols>
  <sheetData>
    <row r="1" spans="1:3" x14ac:dyDescent="0.3">
      <c r="A1" s="2" t="s">
        <v>2</v>
      </c>
      <c r="B1" s="2" t="s">
        <v>29</v>
      </c>
      <c r="C1" s="2" t="s">
        <v>30</v>
      </c>
    </row>
    <row r="2" spans="1:3" x14ac:dyDescent="0.3">
      <c r="A2" s="1" t="s">
        <v>6</v>
      </c>
      <c r="B2" s="1" t="s">
        <v>31</v>
      </c>
      <c r="C2" s="1" t="s">
        <v>32</v>
      </c>
    </row>
    <row r="3" spans="1:3" x14ac:dyDescent="0.3">
      <c r="A3" s="1" t="s">
        <v>9</v>
      </c>
      <c r="B3" s="1" t="s">
        <v>33</v>
      </c>
      <c r="C3" s="1" t="s">
        <v>34</v>
      </c>
    </row>
    <row r="4" spans="1:3" x14ac:dyDescent="0.3">
      <c r="A4" s="1" t="s">
        <v>12</v>
      </c>
      <c r="B4" s="1" t="s">
        <v>35</v>
      </c>
      <c r="C4" s="1" t="s">
        <v>36</v>
      </c>
    </row>
    <row r="5" spans="1:3" x14ac:dyDescent="0.3">
      <c r="A5" s="1" t="s">
        <v>16</v>
      </c>
      <c r="B5" s="1" t="s">
        <v>37</v>
      </c>
      <c r="C5" s="1" t="s">
        <v>38</v>
      </c>
    </row>
    <row r="6" spans="1:3" x14ac:dyDescent="0.3">
      <c r="A6" s="1" t="s">
        <v>21</v>
      </c>
      <c r="B6" s="1" t="s">
        <v>39</v>
      </c>
      <c r="C6" s="1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B3520-F2CF-49A6-B2D2-20E5142BFB69}">
  <dimension ref="A1:C5"/>
  <sheetViews>
    <sheetView workbookViewId="0">
      <selection activeCell="C8" sqref="C8"/>
    </sheetView>
  </sheetViews>
  <sheetFormatPr defaultRowHeight="14.4" x14ac:dyDescent="0.3"/>
  <cols>
    <col min="1" max="1" width="9.109375" bestFit="1" customWidth="1"/>
    <col min="2" max="2" width="12.6640625" bestFit="1" customWidth="1"/>
    <col min="3" max="3" width="8.44140625" bestFit="1" customWidth="1"/>
  </cols>
  <sheetData>
    <row r="1" spans="1:3" x14ac:dyDescent="0.3">
      <c r="A1" s="2" t="s">
        <v>3</v>
      </c>
      <c r="B1" s="2" t="s">
        <v>40</v>
      </c>
      <c r="C1" s="2" t="s">
        <v>41</v>
      </c>
    </row>
    <row r="2" spans="1:3" x14ac:dyDescent="0.3">
      <c r="A2" s="1" t="s">
        <v>7</v>
      </c>
      <c r="B2" s="1" t="s">
        <v>42</v>
      </c>
      <c r="C2" s="1">
        <v>25</v>
      </c>
    </row>
    <row r="3" spans="1:3" x14ac:dyDescent="0.3">
      <c r="A3" s="1" t="s">
        <v>18</v>
      </c>
      <c r="B3" s="1" t="s">
        <v>43</v>
      </c>
      <c r="C3" s="1">
        <v>45</v>
      </c>
    </row>
    <row r="4" spans="1:3" x14ac:dyDescent="0.3">
      <c r="A4" s="1" t="s">
        <v>14</v>
      </c>
      <c r="B4" s="1" t="s">
        <v>44</v>
      </c>
      <c r="C4" s="1">
        <v>15</v>
      </c>
    </row>
    <row r="5" spans="1:3" x14ac:dyDescent="0.3">
      <c r="A5" s="1" t="s">
        <v>10</v>
      </c>
      <c r="B5" s="1" t="s">
        <v>45</v>
      </c>
      <c r="C5" s="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Karan Katudiya</cp:lastModifiedBy>
  <dcterms:created xsi:type="dcterms:W3CDTF">2025-11-30T14:57:35Z</dcterms:created>
  <dcterms:modified xsi:type="dcterms:W3CDTF">2025-12-15T13:45:12Z</dcterms:modified>
</cp:coreProperties>
</file>